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59\OneDrive\Desktop\"/>
    </mc:Choice>
  </mc:AlternateContent>
  <xr:revisionPtr revIDLastSave="0" documentId="13_ncr:1_{513665A4-BF7A-42D5-A674-3E327C533F78}" xr6:coauthVersionLast="47" xr6:coauthVersionMax="47" xr10:uidLastSave="{00000000-0000-0000-0000-000000000000}"/>
  <bookViews>
    <workbookView xWindow="-108" yWindow="-108" windowWidth="23256" windowHeight="12456" xr2:uid="{7FF6FB45-C278-4DA7-B188-CA27C51781AB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5" i="3" a="1"/>
  <c r="B5" i="3" s="1"/>
  <c r="B53" i="1"/>
  <c r="F53" i="1"/>
  <c r="B3" i="3"/>
  <c r="B4" i="3" a="1"/>
  <c r="B4" i="3" s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I4" i="1"/>
  <c r="I5" i="1"/>
  <c r="I6" i="1"/>
  <c r="I7" i="1"/>
  <c r="I8" i="1"/>
  <c r="I9" i="1"/>
  <c r="I10" i="1"/>
  <c r="I11" i="1"/>
  <c r="I12" i="1"/>
  <c r="I2" i="1"/>
  <c r="I5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<sst xmlns="http://schemas.openxmlformats.org/spreadsheetml/2006/main" count="267" uniqueCount="178">
  <si>
    <t>CustomerID</t>
  </si>
  <si>
    <t>Name</t>
  </si>
  <si>
    <t>Email</t>
  </si>
  <si>
    <t>Region</t>
  </si>
  <si>
    <t>Category</t>
  </si>
  <si>
    <t>PurchaseAmount</t>
  </si>
  <si>
    <t>Date</t>
  </si>
  <si>
    <t>C001</t>
  </si>
  <si>
    <t>Amit Sharma</t>
  </si>
  <si>
    <t>amit@gmail.com</t>
  </si>
  <si>
    <t>North</t>
  </si>
  <si>
    <t>Electronics</t>
  </si>
  <si>
    <t>C002</t>
  </si>
  <si>
    <t>Priya Singh</t>
  </si>
  <si>
    <t>priya@gmail.com</t>
  </si>
  <si>
    <t>South</t>
  </si>
  <si>
    <t>Clothing</t>
  </si>
  <si>
    <t>C003</t>
  </si>
  <si>
    <t>Rahul Verma</t>
  </si>
  <si>
    <t>East</t>
  </si>
  <si>
    <t>C004</t>
  </si>
  <si>
    <t>Neha Gupta</t>
  </si>
  <si>
    <t>West</t>
  </si>
  <si>
    <t>Grocery</t>
  </si>
  <si>
    <t>C005</t>
  </si>
  <si>
    <t>Arjun Mehta</t>
  </si>
  <si>
    <t>arjun@gmail.com</t>
  </si>
  <si>
    <t>C006</t>
  </si>
  <si>
    <t>Kavya Reddy</t>
  </si>
  <si>
    <t>kavya@gmail.com</t>
  </si>
  <si>
    <t>Clothng</t>
  </si>
  <si>
    <t>C007</t>
  </si>
  <si>
    <t>Simran Kaur</t>
  </si>
  <si>
    <t>simran@gmail.com</t>
  </si>
  <si>
    <t>C008</t>
  </si>
  <si>
    <t>Rohit Das</t>
  </si>
  <si>
    <t>rohit@gmail.com</t>
  </si>
  <si>
    <t>C009</t>
  </si>
  <si>
    <t>Anjali Nair</t>
  </si>
  <si>
    <t>anjali@gmail.com</t>
  </si>
  <si>
    <t>C010</t>
  </si>
  <si>
    <t>C011</t>
  </si>
  <si>
    <t>Varun Kapoor</t>
  </si>
  <si>
    <t>varun@gmail.com</t>
  </si>
  <si>
    <t>Furniture</t>
  </si>
  <si>
    <t>C012</t>
  </si>
  <si>
    <t>Meera Iyer</t>
  </si>
  <si>
    <t>meera@gmail.com</t>
  </si>
  <si>
    <t>C013</t>
  </si>
  <si>
    <t>Raj Patel</t>
  </si>
  <si>
    <t>raj@gmail</t>
  </si>
  <si>
    <t>C014</t>
  </si>
  <si>
    <t>Sneha Joshi</t>
  </si>
  <si>
    <t>sneha@gmail.com</t>
  </si>
  <si>
    <t>C015</t>
  </si>
  <si>
    <t>Ali Khan</t>
  </si>
  <si>
    <t>ali@gmail.com</t>
  </si>
  <si>
    <t>C016</t>
  </si>
  <si>
    <t>Pooja Das</t>
  </si>
  <si>
    <t>C017</t>
  </si>
  <si>
    <t>Rohan Gupta</t>
  </si>
  <si>
    <t>rohan@gmail.com</t>
  </si>
  <si>
    <t>C018</t>
  </si>
  <si>
    <t>Ankit Jain</t>
  </si>
  <si>
    <t>C019</t>
  </si>
  <si>
    <t>Divya Sharma</t>
  </si>
  <si>
    <t>divya@gmail.com</t>
  </si>
  <si>
    <t>C020</t>
  </si>
  <si>
    <t>Karan Malhotra</t>
  </si>
  <si>
    <t>karan@gmail.com</t>
  </si>
  <si>
    <t>C021</t>
  </si>
  <si>
    <t>Nisha Verma</t>
  </si>
  <si>
    <t>nisha@gmail.com</t>
  </si>
  <si>
    <t>C022</t>
  </si>
  <si>
    <t>Manish Singh</t>
  </si>
  <si>
    <t>manish@gmail.com</t>
  </si>
  <si>
    <t>C023</t>
  </si>
  <si>
    <t>Ritu Kapoor</t>
  </si>
  <si>
    <t>ritu@gmail.com</t>
  </si>
  <si>
    <t>C024</t>
  </si>
  <si>
    <t>Sachin Yadav</t>
  </si>
  <si>
    <t>sachin@gmail.com</t>
  </si>
  <si>
    <t>C025</t>
  </si>
  <si>
    <t>Kritika Mehta</t>
  </si>
  <si>
    <t>kritika@gmail.com</t>
  </si>
  <si>
    <t>C026</t>
  </si>
  <si>
    <t>Vikas Nair</t>
  </si>
  <si>
    <t>vikas@gmail.com</t>
  </si>
  <si>
    <t>C027</t>
  </si>
  <si>
    <t>Shreya Iyer</t>
  </si>
  <si>
    <t>shreya@gmail.com</t>
  </si>
  <si>
    <t>C028</t>
  </si>
  <si>
    <t>Aditya Patel</t>
  </si>
  <si>
    <t>aditya@gmail.com</t>
  </si>
  <si>
    <t>C029</t>
  </si>
  <si>
    <t>Tanya Sharma</t>
  </si>
  <si>
    <t>tanya@gmail.com</t>
  </si>
  <si>
    <t>C030</t>
  </si>
  <si>
    <t>Ravi Kumar</t>
  </si>
  <si>
    <t>ravi@gmail.com</t>
  </si>
  <si>
    <t>C031</t>
  </si>
  <si>
    <t>Neeraj Singh</t>
  </si>
  <si>
    <t>neeraj@gmail.com</t>
  </si>
  <si>
    <t>C032</t>
  </si>
  <si>
    <t>Ayesha Khan</t>
  </si>
  <si>
    <t>ayesha@gmail.com</t>
  </si>
  <si>
    <t>C033</t>
  </si>
  <si>
    <t>Deepak Verma</t>
  </si>
  <si>
    <t>deepak@gmail.com</t>
  </si>
  <si>
    <t>C034</t>
  </si>
  <si>
    <t>Kunal Shah</t>
  </si>
  <si>
    <t>kunal@gmail.com</t>
  </si>
  <si>
    <t>C035</t>
  </si>
  <si>
    <t>Payal Jain</t>
  </si>
  <si>
    <t>payal@gmail.com</t>
  </si>
  <si>
    <t>C036</t>
  </si>
  <si>
    <t>Saurabh Gupta</t>
  </si>
  <si>
    <t>saurabh@gmail.com</t>
  </si>
  <si>
    <t>C037</t>
  </si>
  <si>
    <t>Komal Singh</t>
  </si>
  <si>
    <t>komal@gmail.com</t>
  </si>
  <si>
    <t>C038</t>
  </si>
  <si>
    <t>Himanshu Patel</t>
  </si>
  <si>
    <t>himanshu@gmail.com</t>
  </si>
  <si>
    <t>C039</t>
  </si>
  <si>
    <t>Preeti Nair</t>
  </si>
  <si>
    <t>preeti@gmail.com</t>
  </si>
  <si>
    <t>C040</t>
  </si>
  <si>
    <t>Rakesh Yadav</t>
  </si>
  <si>
    <t>C041</t>
  </si>
  <si>
    <t>Swati Sharma</t>
  </si>
  <si>
    <t>swati@gmail.com</t>
  </si>
  <si>
    <t>C042</t>
  </si>
  <si>
    <t>Aman Gupta</t>
  </si>
  <si>
    <t>aman@gmail.com</t>
  </si>
  <si>
    <t>C043</t>
  </si>
  <si>
    <t>Pankaj Verma</t>
  </si>
  <si>
    <t>pankaj@gmail.com</t>
  </si>
  <si>
    <t>C044</t>
  </si>
  <si>
    <t>Seema Kapoor</t>
  </si>
  <si>
    <t>seema@gmail.com</t>
  </si>
  <si>
    <t>C045</t>
  </si>
  <si>
    <t>Harsh Mehta</t>
  </si>
  <si>
    <t>harsh@gmail.com</t>
  </si>
  <si>
    <t>C046</t>
  </si>
  <si>
    <t>Nikita Jain</t>
  </si>
  <si>
    <t>nikita@gmail.com</t>
  </si>
  <si>
    <t>C047</t>
  </si>
  <si>
    <t>Rajesh Singh</t>
  </si>
  <si>
    <t>rajesh@gmail.com</t>
  </si>
  <si>
    <t>C048</t>
  </si>
  <si>
    <t>Alok Sharma</t>
  </si>
  <si>
    <t>alok@gmail.com</t>
  </si>
  <si>
    <t>C049</t>
  </si>
  <si>
    <t>Sonal Verma</t>
  </si>
  <si>
    <t>sonal@gmail.com</t>
  </si>
  <si>
    <t>C050</t>
  </si>
  <si>
    <t>Imran Khan</t>
  </si>
  <si>
    <t>imran@gmail.com</t>
  </si>
  <si>
    <t>FurNture</t>
  </si>
  <si>
    <t>Esat</t>
  </si>
  <si>
    <t>pooja@gail.com</t>
  </si>
  <si>
    <t>Elecronics</t>
  </si>
  <si>
    <t>Groce</t>
  </si>
  <si>
    <t>Clthing</t>
  </si>
  <si>
    <t>ankit@gmail.com</t>
  </si>
  <si>
    <t>rakesh@gmailcom</t>
  </si>
  <si>
    <t>Missing_Check</t>
  </si>
  <si>
    <t>Missing Values</t>
  </si>
  <si>
    <t>Duplicate Records</t>
  </si>
  <si>
    <t>Invalid Categories</t>
  </si>
  <si>
    <t>TOTAL AMOUNT</t>
  </si>
  <si>
    <t>TOTAL CUSTOMER</t>
  </si>
  <si>
    <t>TOTAL TRUE VALUES</t>
  </si>
  <si>
    <t>neha@gmail.com</t>
  </si>
  <si>
    <t>VALUE</t>
  </si>
  <si>
    <t>METRIC</t>
  </si>
  <si>
    <t>Total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</si>
</sst>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</font>
    <font>
      <b/>
      <sz val="11"/>
      <color theme="1"/>
      <name val="Aptos Narrow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7" fillId="0" borderId="0" xfId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9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</cellXfs>
  <cellStyles count="2">
    <cellStyle name="Hyperlink" xfId="1" builtinId="8"/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dk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IN" sz="2400" b="1">
                <a:latin typeface="Aptos Narrow" panose="020B0004020202020204" pitchFamily="34" charset="0"/>
              </a:rPr>
              <a:t>Error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8D-4FEC-BDCB-56BF66A6CA44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8D-4FEC-BDCB-56BF66A6CA44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8D-4FEC-BDCB-56BF66A6CA4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B60123A-C801-433C-86BE-71EE397D9022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58D-4FEC-BDCB-56BF66A6CA4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CAAAE6-7399-419C-BC68-82B2BCA67744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58D-4FEC-BDCB-56BF66A6CA4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BA1DB6C-7B17-408D-ADF0-4CF93BE9BFB9}" type="PERCENTAGE">
                      <a:rPr lang="en-US"/>
                      <a:pPr/>
                      <a:t>[PERCENTAGE]</a:t>
                    </a:fld>
                    <a:endParaRPr lang="en-IN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58D-4FEC-BDCB-56BF66A6C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Sheet2!$A$3:$A$5</c:f>
              <c:strCache>
                <c:ptCount val="3"/>
                <c:pt idx="0">
                  <c:v>Missing Values</c:v>
                </c:pt>
                <c:pt idx="1">
                  <c:v>Invalid Categories</c:v>
                </c:pt>
                <c:pt idx="2">
                  <c:v>Duplicate Records</c:v>
                </c:pt>
              </c:strCache>
            </c:strRef>
          </c:cat>
          <c:val>
            <c:numRef>
              <c:f>Sheet2!$B$3:$B$5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D-4FEC-BDCB-56BF66A6CA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dk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r>
              <a:rPr lang="en-IN" sz="2400" b="1">
                <a:latin typeface="Aptos Narrow" panose="020B0004020202020204" pitchFamily="34" charset="0"/>
              </a:rPr>
              <a:t>Customer Data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dk1"/>
              </a:solidFill>
              <a:latin typeface="Aptos Narrow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309B-4518-9792-B453294F007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09B-4518-9792-B453294F007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309B-4518-9792-B453294F0073}"/>
              </c:ext>
            </c:extLst>
          </c:dPt>
          <c:cat>
            <c:strRef>
              <c:f>Sheet2!$A$2:$A$5</c:f>
              <c:strCache>
                <c:ptCount val="4"/>
                <c:pt idx="0">
                  <c:v>Total Customer</c:v>
                </c:pt>
                <c:pt idx="1">
                  <c:v>Missing Values</c:v>
                </c:pt>
                <c:pt idx="2">
                  <c:v>Invalid Categories</c:v>
                </c:pt>
                <c:pt idx="3">
                  <c:v>Duplicate Records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4"/>
                <c:pt idx="0">
                  <c:v>50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B-4518-9792-B453294F0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7678703"/>
        <c:axId val="617677743"/>
        <c:axId val="0"/>
      </c:bar3DChart>
      <c:catAx>
        <c:axId val="61767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 b="1">
                    <a:latin typeface="Aptos Narrow" panose="020B0004020202020204" pitchFamily="34" charset="0"/>
                  </a:rPr>
                  <a:t>METRIC</a:t>
                </a:r>
                <a:endParaRPr lang="en-IN" b="1">
                  <a:latin typeface="Aptos Narrow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47927374411109347"/>
              <c:y val="0.927350376301770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ptos Narrow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17677743"/>
        <c:crosses val="autoZero"/>
        <c:auto val="1"/>
        <c:lblAlgn val="ctr"/>
        <c:lblOffset val="100"/>
        <c:noMultiLvlLbl val="0"/>
      </c:catAx>
      <c:valAx>
        <c:axId val="61767774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miter lim="800000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/>
                    </a:solidFill>
                    <a:latin typeface="Aptos Narrow" panose="020B0004020202020204" pitchFamily="34" charset="0"/>
                    <a:ea typeface="+mn-ea"/>
                    <a:cs typeface="+mn-cs"/>
                  </a:defRPr>
                </a:pPr>
                <a:r>
                  <a:rPr lang="en-IN" sz="1050" b="1">
                    <a:latin typeface="Aptos Narrow" panose="020B0004020202020204" pitchFamily="34" charset="0"/>
                  </a:rPr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/>
                  </a:solidFill>
                  <a:latin typeface="Aptos Narrow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67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731519</xdr:colOff>
      <xdr:row>0</xdr:row>
      <xdr:rowOff>30480</xdr:rowOff>
    </xdr:from>
    <xdr:to>
      <xdr:col>10</xdr:col>
      <xdr:colOff>9407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8B88CA-9B42-453D-B8DD-8BE2403B2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47037</xdr:colOff>
      <xdr:row>0</xdr:row>
      <xdr:rowOff>23204</xdr:rowOff>
    </xdr:from>
    <xdr:to>
      <xdr:col>21</xdr:col>
      <xdr:colOff>65852</xdr:colOff>
      <xdr:row>19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656861-AD8E-B416-1EDA-CF9E13C2F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arsh@gmail.com" TargetMode="External"/><Relationship Id="rId18" Type="http://schemas.openxmlformats.org/officeDocument/2006/relationships/hyperlink" Target="mailto:himanshu@gmail.com" TargetMode="External"/><Relationship Id="rId26" Type="http://schemas.openxmlformats.org/officeDocument/2006/relationships/hyperlink" Target="mailto:aditya@gmail.com" TargetMode="External"/><Relationship Id="rId39" Type="http://schemas.openxmlformats.org/officeDocument/2006/relationships/hyperlink" Target="mailto:meera@gmail.com" TargetMode="External"/><Relationship Id="rId21" Type="http://schemas.openxmlformats.org/officeDocument/2006/relationships/hyperlink" Target="mailto:deepak@gmail.com" TargetMode="External"/><Relationship Id="rId34" Type="http://schemas.openxmlformats.org/officeDocument/2006/relationships/hyperlink" Target="mailto:karan@gmail.com" TargetMode="External"/><Relationship Id="rId42" Type="http://schemas.openxmlformats.org/officeDocument/2006/relationships/hyperlink" Target="mailto:rohit@gmail.com" TargetMode="External"/><Relationship Id="rId47" Type="http://schemas.openxmlformats.org/officeDocument/2006/relationships/hyperlink" Target="mailto:priya@gmail.com" TargetMode="External"/><Relationship Id="rId50" Type="http://schemas.openxmlformats.org/officeDocument/2006/relationships/hyperlink" Target="mailto:neha@gmail.com" TargetMode="External"/><Relationship Id="rId7" Type="http://schemas.openxmlformats.org/officeDocument/2006/relationships/hyperlink" Target="mailto:payal@gmail.com" TargetMode="External"/><Relationship Id="rId2" Type="http://schemas.openxmlformats.org/officeDocument/2006/relationships/hyperlink" Target="mailto:ravi@gmail.com" TargetMode="External"/><Relationship Id="rId16" Type="http://schemas.openxmlformats.org/officeDocument/2006/relationships/hyperlink" Target="mailto:swati@gmail.com" TargetMode="External"/><Relationship Id="rId29" Type="http://schemas.openxmlformats.org/officeDocument/2006/relationships/hyperlink" Target="mailto:kritika@gmail.com" TargetMode="External"/><Relationship Id="rId11" Type="http://schemas.openxmlformats.org/officeDocument/2006/relationships/hyperlink" Target="mailto:rajesh@gmail.com" TargetMode="External"/><Relationship Id="rId24" Type="http://schemas.openxmlformats.org/officeDocument/2006/relationships/hyperlink" Target="mailto:ravi@gmail.com" TargetMode="External"/><Relationship Id="rId32" Type="http://schemas.openxmlformats.org/officeDocument/2006/relationships/hyperlink" Target="mailto:manish@gmail.com" TargetMode="External"/><Relationship Id="rId37" Type="http://schemas.openxmlformats.org/officeDocument/2006/relationships/hyperlink" Target="mailto:ali@gmail.com" TargetMode="External"/><Relationship Id="rId40" Type="http://schemas.openxmlformats.org/officeDocument/2006/relationships/hyperlink" Target="mailto:varun@gmail.com" TargetMode="External"/><Relationship Id="rId45" Type="http://schemas.openxmlformats.org/officeDocument/2006/relationships/hyperlink" Target="mailto:kavya@gmail.com" TargetMode="External"/><Relationship Id="rId5" Type="http://schemas.openxmlformats.org/officeDocument/2006/relationships/hyperlink" Target="mailto:pankaj@gmail.com" TargetMode="External"/><Relationship Id="rId15" Type="http://schemas.openxmlformats.org/officeDocument/2006/relationships/hyperlink" Target="mailto:aman@gmail.com" TargetMode="External"/><Relationship Id="rId23" Type="http://schemas.openxmlformats.org/officeDocument/2006/relationships/hyperlink" Target="mailto:neeraj@gmail.com" TargetMode="External"/><Relationship Id="rId28" Type="http://schemas.openxmlformats.org/officeDocument/2006/relationships/hyperlink" Target="mailto:vikas@gmail.com" TargetMode="External"/><Relationship Id="rId36" Type="http://schemas.openxmlformats.org/officeDocument/2006/relationships/hyperlink" Target="mailto:rohan@gmail.com" TargetMode="External"/><Relationship Id="rId49" Type="http://schemas.openxmlformats.org/officeDocument/2006/relationships/hyperlink" Target="mailto:raj@gmail" TargetMode="External"/><Relationship Id="rId10" Type="http://schemas.openxmlformats.org/officeDocument/2006/relationships/hyperlink" Target="mailto:alok@gmail.com" TargetMode="External"/><Relationship Id="rId19" Type="http://schemas.openxmlformats.org/officeDocument/2006/relationships/hyperlink" Target="mailto:saurabh@gmail.com" TargetMode="External"/><Relationship Id="rId31" Type="http://schemas.openxmlformats.org/officeDocument/2006/relationships/hyperlink" Target="mailto:ritu@gmail.com" TargetMode="External"/><Relationship Id="rId44" Type="http://schemas.openxmlformats.org/officeDocument/2006/relationships/hyperlink" Target="mailto:simran@gmail.com" TargetMode="External"/><Relationship Id="rId4" Type="http://schemas.openxmlformats.org/officeDocument/2006/relationships/hyperlink" Target="mailto:pooja@gail.com" TargetMode="External"/><Relationship Id="rId9" Type="http://schemas.openxmlformats.org/officeDocument/2006/relationships/hyperlink" Target="mailto:sonal@gmail.com" TargetMode="External"/><Relationship Id="rId14" Type="http://schemas.openxmlformats.org/officeDocument/2006/relationships/hyperlink" Target="mailto:seema@gmail.com" TargetMode="External"/><Relationship Id="rId22" Type="http://schemas.openxmlformats.org/officeDocument/2006/relationships/hyperlink" Target="mailto:ayesha@gmail.com" TargetMode="External"/><Relationship Id="rId27" Type="http://schemas.openxmlformats.org/officeDocument/2006/relationships/hyperlink" Target="mailto:shreya@gmail.com" TargetMode="External"/><Relationship Id="rId30" Type="http://schemas.openxmlformats.org/officeDocument/2006/relationships/hyperlink" Target="mailto:sachin@gmail.com" TargetMode="External"/><Relationship Id="rId35" Type="http://schemas.openxmlformats.org/officeDocument/2006/relationships/hyperlink" Target="mailto:divya@gmail.com" TargetMode="External"/><Relationship Id="rId43" Type="http://schemas.openxmlformats.org/officeDocument/2006/relationships/hyperlink" Target="mailto:anjali@gmail.com" TargetMode="External"/><Relationship Id="rId48" Type="http://schemas.openxmlformats.org/officeDocument/2006/relationships/hyperlink" Target="mailto:amit@gmail.com" TargetMode="External"/><Relationship Id="rId8" Type="http://schemas.openxmlformats.org/officeDocument/2006/relationships/hyperlink" Target="mailto:imran@gmail.com" TargetMode="External"/><Relationship Id="rId3" Type="http://schemas.openxmlformats.org/officeDocument/2006/relationships/hyperlink" Target="mailto:ankit@gmail.com" TargetMode="External"/><Relationship Id="rId12" Type="http://schemas.openxmlformats.org/officeDocument/2006/relationships/hyperlink" Target="mailto:nikita@gmail.com" TargetMode="External"/><Relationship Id="rId17" Type="http://schemas.openxmlformats.org/officeDocument/2006/relationships/hyperlink" Target="mailto:preeti@gmail.com" TargetMode="External"/><Relationship Id="rId25" Type="http://schemas.openxmlformats.org/officeDocument/2006/relationships/hyperlink" Target="mailto:tanya@gmail.com" TargetMode="External"/><Relationship Id="rId33" Type="http://schemas.openxmlformats.org/officeDocument/2006/relationships/hyperlink" Target="mailto:nisha@gmail.com" TargetMode="External"/><Relationship Id="rId38" Type="http://schemas.openxmlformats.org/officeDocument/2006/relationships/hyperlink" Target="mailto:sneha@gmail.com" TargetMode="External"/><Relationship Id="rId46" Type="http://schemas.openxmlformats.org/officeDocument/2006/relationships/hyperlink" Target="mailto:arjun@gmail.com" TargetMode="External"/><Relationship Id="rId20" Type="http://schemas.openxmlformats.org/officeDocument/2006/relationships/hyperlink" Target="mailto:kunal@gmail.com" TargetMode="External"/><Relationship Id="rId41" Type="http://schemas.openxmlformats.org/officeDocument/2006/relationships/hyperlink" Target="mailto:amit@gmail.com" TargetMode="External"/><Relationship Id="rId1" Type="http://schemas.openxmlformats.org/officeDocument/2006/relationships/hyperlink" Target="mailto:rakesh@gmailcom" TargetMode="External"/><Relationship Id="rId6" Type="http://schemas.openxmlformats.org/officeDocument/2006/relationships/hyperlink" Target="mailto:koma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AD2D-BB68-42B1-849A-2560D652A398}">
  <dimension ref="A1:I55"/>
  <sheetViews>
    <sheetView tabSelected="1" zoomScale="85" zoomScaleNormal="110" workbookViewId="0">
      <selection activeCell="C8" sqref="C8"/>
    </sheetView>
  </sheetViews>
  <sheetFormatPr defaultRowHeight="14.4" x14ac:dyDescent="0.3"/>
  <cols>
    <col min="1" max="1" width="16.88671875" customWidth="1"/>
    <col min="2" max="2" width="18.88671875" customWidth="1"/>
    <col min="3" max="3" width="25.5546875" customWidth="1"/>
    <col min="4" max="4" width="14.44140625" customWidth="1"/>
    <col min="5" max="5" width="13.33203125" customWidth="1"/>
    <col min="6" max="6" width="20.21875" customWidth="1"/>
    <col min="7" max="7" width="13.6640625" style="2" customWidth="1"/>
    <col min="8" max="8" width="17.44140625" customWidth="1"/>
    <col min="9" max="9" width="22.77734375" customWidth="1"/>
    <col min="10" max="11" width="8.88671875" customWidth="1"/>
  </cols>
  <sheetData>
    <row r="1" spans="1:9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9" t="s">
        <v>11</v>
      </c>
      <c r="I1" s="7" t="s">
        <v>167</v>
      </c>
    </row>
    <row r="2" spans="1:9" x14ac:dyDescent="0.3">
      <c r="A2" s="10" t="s">
        <v>7</v>
      </c>
      <c r="B2" s="10" t="s">
        <v>8</v>
      </c>
      <c r="C2" s="1" t="s">
        <v>9</v>
      </c>
      <c r="D2" s="10" t="s">
        <v>10</v>
      </c>
      <c r="E2" s="10" t="s">
        <v>11</v>
      </c>
      <c r="F2" s="10">
        <v>15000</v>
      </c>
      <c r="G2" s="11">
        <v>45292</v>
      </c>
      <c r="H2" s="10" t="s">
        <v>16</v>
      </c>
      <c r="I2" s="10" t="b">
        <f>OR(ISBLANK(C2),ISBLANK(D2),ISBLANK(E2),ISBLANK(F2))</f>
        <v>0</v>
      </c>
    </row>
    <row r="3" spans="1:9" x14ac:dyDescent="0.3">
      <c r="A3" s="10" t="s">
        <v>12</v>
      </c>
      <c r="B3" s="10" t="s">
        <v>13</v>
      </c>
      <c r="C3" s="1" t="s">
        <v>14</v>
      </c>
      <c r="D3" s="10" t="s">
        <v>15</v>
      </c>
      <c r="E3" s="10" t="s">
        <v>16</v>
      </c>
      <c r="F3" s="10">
        <v>8000</v>
      </c>
      <c r="G3" s="11">
        <v>45293</v>
      </c>
      <c r="H3" s="10" t="s">
        <v>23</v>
      </c>
      <c r="I3" s="10" t="b">
        <f t="shared" ref="I3:I51" si="0">OR(ISBLANK(C3),ISBLANK(D3),ISBLANK(E3),ISBLANK(F3))</f>
        <v>0</v>
      </c>
    </row>
    <row r="4" spans="1:9" x14ac:dyDescent="0.3">
      <c r="A4" s="10" t="s">
        <v>17</v>
      </c>
      <c r="B4" s="10" t="s">
        <v>18</v>
      </c>
      <c r="C4" s="12" t="s">
        <v>99</v>
      </c>
      <c r="D4" s="10" t="s">
        <v>19</v>
      </c>
      <c r="E4" s="10" t="s">
        <v>11</v>
      </c>
      <c r="F4" s="10">
        <v>12000</v>
      </c>
      <c r="G4" s="11">
        <v>45294</v>
      </c>
      <c r="H4" s="10" t="s">
        <v>44</v>
      </c>
      <c r="I4" s="10" t="b">
        <f t="shared" si="0"/>
        <v>0</v>
      </c>
    </row>
    <row r="5" spans="1:9" x14ac:dyDescent="0.3">
      <c r="A5" s="10" t="s">
        <v>20</v>
      </c>
      <c r="B5" s="10" t="s">
        <v>21</v>
      </c>
      <c r="C5" s="1" t="s">
        <v>174</v>
      </c>
      <c r="D5" s="10" t="s">
        <v>22</v>
      </c>
      <c r="E5" s="10" t="s">
        <v>23</v>
      </c>
      <c r="F5" s="10">
        <v>5000</v>
      </c>
      <c r="G5" s="11">
        <v>45295</v>
      </c>
      <c r="H5" s="10"/>
      <c r="I5" s="10" t="b">
        <f t="shared" si="0"/>
        <v>0</v>
      </c>
    </row>
    <row r="6" spans="1:9" x14ac:dyDescent="0.3">
      <c r="A6" s="10" t="s">
        <v>24</v>
      </c>
      <c r="B6" s="10" t="s">
        <v>25</v>
      </c>
      <c r="C6" s="1" t="s">
        <v>26</v>
      </c>
      <c r="D6" s="10" t="s">
        <v>10</v>
      </c>
      <c r="E6" s="10" t="s">
        <v>11</v>
      </c>
      <c r="F6" s="10">
        <v>15000</v>
      </c>
      <c r="G6" s="11">
        <v>45296</v>
      </c>
      <c r="H6" s="10"/>
      <c r="I6" s="10" t="b">
        <f t="shared" si="0"/>
        <v>0</v>
      </c>
    </row>
    <row r="7" spans="1:9" x14ac:dyDescent="0.3">
      <c r="A7" s="10" t="s">
        <v>27</v>
      </c>
      <c r="B7" s="10" t="s">
        <v>28</v>
      </c>
      <c r="C7" s="1" t="s">
        <v>29</v>
      </c>
      <c r="D7" s="10" t="s">
        <v>15</v>
      </c>
      <c r="E7" s="10" t="s">
        <v>30</v>
      </c>
      <c r="F7" s="10">
        <v>7000</v>
      </c>
      <c r="G7" s="11">
        <v>45297</v>
      </c>
      <c r="H7" s="10"/>
      <c r="I7" s="10" t="b">
        <f t="shared" si="0"/>
        <v>0</v>
      </c>
    </row>
    <row r="8" spans="1:9" x14ac:dyDescent="0.3">
      <c r="A8" s="10" t="s">
        <v>31</v>
      </c>
      <c r="B8" s="10" t="s">
        <v>32</v>
      </c>
      <c r="C8" s="1" t="s">
        <v>33</v>
      </c>
      <c r="D8" s="10"/>
      <c r="E8" s="10" t="s">
        <v>23</v>
      </c>
      <c r="F8" s="10">
        <v>4000</v>
      </c>
      <c r="G8" s="11">
        <v>45298</v>
      </c>
      <c r="H8" s="10"/>
      <c r="I8" s="10" t="b">
        <f t="shared" si="0"/>
        <v>1</v>
      </c>
    </row>
    <row r="9" spans="1:9" x14ac:dyDescent="0.3">
      <c r="A9" s="10" t="s">
        <v>34</v>
      </c>
      <c r="B9" s="10" t="s">
        <v>35</v>
      </c>
      <c r="C9" s="1" t="s">
        <v>36</v>
      </c>
      <c r="D9" s="10" t="s">
        <v>19</v>
      </c>
      <c r="E9" s="10" t="s">
        <v>11</v>
      </c>
      <c r="F9" s="10"/>
      <c r="G9" s="11">
        <v>45299</v>
      </c>
      <c r="H9" s="10"/>
      <c r="I9" s="10" t="b">
        <f t="shared" si="0"/>
        <v>1</v>
      </c>
    </row>
    <row r="10" spans="1:9" x14ac:dyDescent="0.3">
      <c r="A10" s="10" t="s">
        <v>37</v>
      </c>
      <c r="B10" s="10" t="s">
        <v>38</v>
      </c>
      <c r="C10" s="1" t="s">
        <v>39</v>
      </c>
      <c r="D10" s="10" t="s">
        <v>15</v>
      </c>
      <c r="E10" s="10" t="s">
        <v>16</v>
      </c>
      <c r="F10" s="10">
        <v>8500</v>
      </c>
      <c r="G10" s="11">
        <v>45300</v>
      </c>
      <c r="H10" s="10"/>
      <c r="I10" s="10" t="b">
        <f t="shared" si="0"/>
        <v>0</v>
      </c>
    </row>
    <row r="11" spans="1:9" x14ac:dyDescent="0.3">
      <c r="A11" s="10" t="s">
        <v>40</v>
      </c>
      <c r="B11" s="10" t="s">
        <v>8</v>
      </c>
      <c r="C11" s="1" t="s">
        <v>9</v>
      </c>
      <c r="D11" s="10" t="s">
        <v>10</v>
      </c>
      <c r="E11" s="10" t="s">
        <v>11</v>
      </c>
      <c r="F11" s="10">
        <v>15000</v>
      </c>
      <c r="G11" s="11">
        <v>45292</v>
      </c>
      <c r="H11" s="10"/>
      <c r="I11" s="10" t="b">
        <f t="shared" si="0"/>
        <v>0</v>
      </c>
    </row>
    <row r="12" spans="1:9" x14ac:dyDescent="0.3">
      <c r="A12" s="10" t="s">
        <v>41</v>
      </c>
      <c r="B12" s="10" t="s">
        <v>42</v>
      </c>
      <c r="C12" s="1" t="s">
        <v>43</v>
      </c>
      <c r="D12" s="10" t="s">
        <v>22</v>
      </c>
      <c r="E12" s="10" t="s">
        <v>159</v>
      </c>
      <c r="F12" s="10">
        <v>20000</v>
      </c>
      <c r="G12" s="11">
        <v>45302</v>
      </c>
      <c r="H12" s="10"/>
      <c r="I12" s="10" t="b">
        <f t="shared" si="0"/>
        <v>0</v>
      </c>
    </row>
    <row r="13" spans="1:9" x14ac:dyDescent="0.3">
      <c r="A13" s="10" t="s">
        <v>45</v>
      </c>
      <c r="B13" s="10" t="s">
        <v>46</v>
      </c>
      <c r="C13" s="1" t="s">
        <v>47</v>
      </c>
      <c r="D13" s="10" t="s">
        <v>15</v>
      </c>
      <c r="E13" s="10" t="s">
        <v>16</v>
      </c>
      <c r="F13" s="10">
        <v>9000</v>
      </c>
      <c r="G13" s="11">
        <v>45303</v>
      </c>
      <c r="H13" s="10"/>
      <c r="I13" s="10" t="b">
        <f t="shared" si="0"/>
        <v>0</v>
      </c>
    </row>
    <row r="14" spans="1:9" x14ac:dyDescent="0.3">
      <c r="A14" s="10" t="s">
        <v>48</v>
      </c>
      <c r="B14" s="10" t="s">
        <v>49</v>
      </c>
      <c r="C14" s="1" t="s">
        <v>50</v>
      </c>
      <c r="D14" s="10" t="s">
        <v>10</v>
      </c>
      <c r="E14" s="10" t="s">
        <v>11</v>
      </c>
      <c r="F14" s="10">
        <v>11000</v>
      </c>
      <c r="G14" s="11">
        <v>45304</v>
      </c>
      <c r="H14" s="10"/>
      <c r="I14" s="10" t="b">
        <f t="shared" si="0"/>
        <v>0</v>
      </c>
    </row>
    <row r="15" spans="1:9" x14ac:dyDescent="0.3">
      <c r="A15" s="10" t="s">
        <v>51</v>
      </c>
      <c r="B15" s="10" t="s">
        <v>52</v>
      </c>
      <c r="C15" s="1" t="s">
        <v>53</v>
      </c>
      <c r="D15" s="10" t="s">
        <v>160</v>
      </c>
      <c r="E15" s="10" t="s">
        <v>23</v>
      </c>
      <c r="F15" s="10">
        <v>4500</v>
      </c>
      <c r="G15" s="11">
        <v>45305</v>
      </c>
      <c r="H15" s="10"/>
      <c r="I15" s="10" t="b">
        <f t="shared" si="0"/>
        <v>0</v>
      </c>
    </row>
    <row r="16" spans="1:9" x14ac:dyDescent="0.3">
      <c r="A16" s="10" t="s">
        <v>54</v>
      </c>
      <c r="B16" s="10" t="s">
        <v>55</v>
      </c>
      <c r="C16" s="1" t="s">
        <v>56</v>
      </c>
      <c r="D16" s="10" t="s">
        <v>22</v>
      </c>
      <c r="E16" s="10" t="s">
        <v>11</v>
      </c>
      <c r="F16" s="10">
        <v>13000</v>
      </c>
      <c r="G16" s="11">
        <v>45306</v>
      </c>
      <c r="H16" s="10"/>
      <c r="I16" s="10" t="b">
        <f t="shared" si="0"/>
        <v>0</v>
      </c>
    </row>
    <row r="17" spans="1:9" x14ac:dyDescent="0.3">
      <c r="A17" s="10" t="s">
        <v>57</v>
      </c>
      <c r="B17" s="10" t="s">
        <v>58</v>
      </c>
      <c r="C17" s="12" t="s">
        <v>161</v>
      </c>
      <c r="D17" s="10" t="s">
        <v>10</v>
      </c>
      <c r="E17" s="10" t="s">
        <v>16</v>
      </c>
      <c r="F17" s="10">
        <v>7500</v>
      </c>
      <c r="G17" s="11">
        <v>45307</v>
      </c>
      <c r="H17" s="10"/>
      <c r="I17" s="10" t="b">
        <f t="shared" si="0"/>
        <v>0</v>
      </c>
    </row>
    <row r="18" spans="1:9" x14ac:dyDescent="0.3">
      <c r="A18" s="10" t="s">
        <v>59</v>
      </c>
      <c r="B18" s="10" t="s">
        <v>60</v>
      </c>
      <c r="C18" s="1" t="s">
        <v>61</v>
      </c>
      <c r="D18" s="10" t="s">
        <v>15</v>
      </c>
      <c r="E18" s="10" t="s">
        <v>11</v>
      </c>
      <c r="F18" s="10">
        <v>14000</v>
      </c>
      <c r="G18" s="11">
        <v>45308</v>
      </c>
      <c r="H18" s="10"/>
      <c r="I18" s="10" t="b">
        <f t="shared" si="0"/>
        <v>0</v>
      </c>
    </row>
    <row r="19" spans="1:9" x14ac:dyDescent="0.3">
      <c r="A19" s="10" t="s">
        <v>62</v>
      </c>
      <c r="B19" s="10" t="s">
        <v>63</v>
      </c>
      <c r="C19" s="12" t="s">
        <v>165</v>
      </c>
      <c r="D19" s="10" t="s">
        <v>19</v>
      </c>
      <c r="E19" s="10" t="s">
        <v>44</v>
      </c>
      <c r="F19" s="10">
        <v>22000</v>
      </c>
      <c r="G19" s="11">
        <v>45309</v>
      </c>
      <c r="H19" s="10"/>
      <c r="I19" s="10" t="b">
        <f t="shared" si="0"/>
        <v>0</v>
      </c>
    </row>
    <row r="20" spans="1:9" x14ac:dyDescent="0.3">
      <c r="A20" s="10" t="s">
        <v>64</v>
      </c>
      <c r="B20" s="10" t="s">
        <v>65</v>
      </c>
      <c r="C20" s="1" t="s">
        <v>66</v>
      </c>
      <c r="D20" s="10" t="s">
        <v>22</v>
      </c>
      <c r="E20" s="10" t="s">
        <v>23</v>
      </c>
      <c r="F20" s="10">
        <v>4800</v>
      </c>
      <c r="G20" s="11">
        <v>45310</v>
      </c>
      <c r="H20" s="10"/>
      <c r="I20" s="10" t="b">
        <f t="shared" si="0"/>
        <v>0</v>
      </c>
    </row>
    <row r="21" spans="1:9" x14ac:dyDescent="0.3">
      <c r="A21" s="10" t="s">
        <v>67</v>
      </c>
      <c r="B21" s="10" t="s">
        <v>68</v>
      </c>
      <c r="C21" s="1" t="s">
        <v>69</v>
      </c>
      <c r="D21" s="10" t="s">
        <v>10</v>
      </c>
      <c r="E21" s="10" t="s">
        <v>11</v>
      </c>
      <c r="F21" s="10">
        <v>16000</v>
      </c>
      <c r="G21" s="11">
        <v>45371</v>
      </c>
      <c r="H21" s="10"/>
      <c r="I21" s="10" t="b">
        <f t="shared" si="0"/>
        <v>0</v>
      </c>
    </row>
    <row r="22" spans="1:9" x14ac:dyDescent="0.3">
      <c r="A22" s="10" t="s">
        <v>70</v>
      </c>
      <c r="B22" s="10" t="s">
        <v>71</v>
      </c>
      <c r="C22" s="1" t="s">
        <v>72</v>
      </c>
      <c r="D22" s="10" t="s">
        <v>15</v>
      </c>
      <c r="E22" s="10" t="s">
        <v>16</v>
      </c>
      <c r="F22" s="10">
        <v>8200</v>
      </c>
      <c r="G22" s="11">
        <v>45312</v>
      </c>
      <c r="H22" s="10"/>
      <c r="I22" s="10" t="b">
        <f t="shared" si="0"/>
        <v>0</v>
      </c>
    </row>
    <row r="23" spans="1:9" x14ac:dyDescent="0.3">
      <c r="A23" s="10" t="s">
        <v>73</v>
      </c>
      <c r="B23" s="10" t="s">
        <v>74</v>
      </c>
      <c r="C23" s="1" t="s">
        <v>75</v>
      </c>
      <c r="D23" s="10" t="s">
        <v>19</v>
      </c>
      <c r="E23" s="10" t="s">
        <v>11</v>
      </c>
      <c r="F23" s="10">
        <v>12500</v>
      </c>
      <c r="G23" s="11">
        <v>45313</v>
      </c>
      <c r="H23" s="10"/>
      <c r="I23" s="10" t="b">
        <f t="shared" si="0"/>
        <v>0</v>
      </c>
    </row>
    <row r="24" spans="1:9" x14ac:dyDescent="0.3">
      <c r="A24" s="10" t="s">
        <v>76</v>
      </c>
      <c r="B24" s="10" t="s">
        <v>77</v>
      </c>
      <c r="C24" s="1" t="s">
        <v>78</v>
      </c>
      <c r="D24" s="10" t="s">
        <v>22</v>
      </c>
      <c r="E24" s="10" t="s">
        <v>23</v>
      </c>
      <c r="F24" s="10">
        <v>5100</v>
      </c>
      <c r="G24" s="11">
        <v>45314</v>
      </c>
      <c r="H24" s="10"/>
      <c r="I24" s="10" t="b">
        <f t="shared" si="0"/>
        <v>0</v>
      </c>
    </row>
    <row r="25" spans="1:9" x14ac:dyDescent="0.3">
      <c r="A25" s="10" t="s">
        <v>79</v>
      </c>
      <c r="B25" s="10" t="s">
        <v>80</v>
      </c>
      <c r="C25" s="1" t="s">
        <v>81</v>
      </c>
      <c r="D25" s="10"/>
      <c r="E25" s="10" t="s">
        <v>44</v>
      </c>
      <c r="F25" s="10">
        <v>21000</v>
      </c>
      <c r="G25" s="11">
        <v>45315</v>
      </c>
      <c r="H25" s="10"/>
      <c r="I25" s="10" t="b">
        <f t="shared" si="0"/>
        <v>1</v>
      </c>
    </row>
    <row r="26" spans="1:9" x14ac:dyDescent="0.3">
      <c r="A26" s="10" t="s">
        <v>82</v>
      </c>
      <c r="B26" s="10" t="s">
        <v>83</v>
      </c>
      <c r="C26" s="1" t="s">
        <v>84</v>
      </c>
      <c r="D26" s="10" t="s">
        <v>15</v>
      </c>
      <c r="E26" s="10" t="s">
        <v>164</v>
      </c>
      <c r="F26" s="10">
        <v>8700</v>
      </c>
      <c r="G26" s="11">
        <v>45316</v>
      </c>
      <c r="H26" s="10"/>
      <c r="I26" s="10" t="b">
        <f t="shared" si="0"/>
        <v>0</v>
      </c>
    </row>
    <row r="27" spans="1:9" x14ac:dyDescent="0.3">
      <c r="A27" s="10" t="s">
        <v>85</v>
      </c>
      <c r="B27" s="10" t="s">
        <v>86</v>
      </c>
      <c r="C27" s="1" t="s">
        <v>87</v>
      </c>
      <c r="D27" s="10" t="s">
        <v>19</v>
      </c>
      <c r="E27" s="10" t="s">
        <v>11</v>
      </c>
      <c r="F27" s="10">
        <v>13500</v>
      </c>
      <c r="G27" s="11">
        <v>45317</v>
      </c>
      <c r="H27" s="10"/>
      <c r="I27" s="10" t="b">
        <f t="shared" si="0"/>
        <v>0</v>
      </c>
    </row>
    <row r="28" spans="1:9" x14ac:dyDescent="0.3">
      <c r="A28" s="10" t="s">
        <v>88</v>
      </c>
      <c r="B28" s="10" t="s">
        <v>89</v>
      </c>
      <c r="C28" s="1" t="s">
        <v>90</v>
      </c>
      <c r="D28" s="10" t="s">
        <v>22</v>
      </c>
      <c r="E28" s="10" t="s">
        <v>23</v>
      </c>
      <c r="F28" s="10">
        <v>4900</v>
      </c>
      <c r="G28" s="11">
        <v>45318</v>
      </c>
      <c r="H28" s="10"/>
      <c r="I28" s="10" t="b">
        <f t="shared" si="0"/>
        <v>0</v>
      </c>
    </row>
    <row r="29" spans="1:9" x14ac:dyDescent="0.3">
      <c r="A29" s="10" t="s">
        <v>91</v>
      </c>
      <c r="B29" s="10" t="s">
        <v>92</v>
      </c>
      <c r="C29" s="1" t="s">
        <v>93</v>
      </c>
      <c r="D29" s="10" t="s">
        <v>10</v>
      </c>
      <c r="E29" s="10" t="s">
        <v>11</v>
      </c>
      <c r="F29" s="10">
        <v>15500</v>
      </c>
      <c r="G29" s="11">
        <v>45319</v>
      </c>
      <c r="H29" s="10"/>
      <c r="I29" s="10" t="b">
        <f t="shared" si="0"/>
        <v>0</v>
      </c>
    </row>
    <row r="30" spans="1:9" x14ac:dyDescent="0.3">
      <c r="A30" s="10" t="s">
        <v>94</v>
      </c>
      <c r="B30" s="10" t="s">
        <v>95</v>
      </c>
      <c r="C30" s="1" t="s">
        <v>96</v>
      </c>
      <c r="D30" s="10" t="s">
        <v>15</v>
      </c>
      <c r="E30" s="10" t="s">
        <v>16</v>
      </c>
      <c r="F30" s="10">
        <v>8800</v>
      </c>
      <c r="G30" s="11">
        <v>45320</v>
      </c>
      <c r="H30" s="10"/>
      <c r="I30" s="10" t="b">
        <f t="shared" si="0"/>
        <v>0</v>
      </c>
    </row>
    <row r="31" spans="1:9" x14ac:dyDescent="0.3">
      <c r="A31" s="10" t="s">
        <v>97</v>
      </c>
      <c r="B31" s="10" t="s">
        <v>98</v>
      </c>
      <c r="C31" s="1" t="s">
        <v>99</v>
      </c>
      <c r="D31" s="10" t="s">
        <v>19</v>
      </c>
      <c r="E31" s="10" t="s">
        <v>44</v>
      </c>
      <c r="F31" s="10">
        <v>23000</v>
      </c>
      <c r="G31" s="11">
        <v>45321</v>
      </c>
      <c r="H31" s="10"/>
      <c r="I31" s="10" t="b">
        <f t="shared" si="0"/>
        <v>0</v>
      </c>
    </row>
    <row r="32" spans="1:9" x14ac:dyDescent="0.3">
      <c r="A32" s="10" t="s">
        <v>100</v>
      </c>
      <c r="B32" s="10" t="s">
        <v>101</v>
      </c>
      <c r="C32" s="1" t="s">
        <v>102</v>
      </c>
      <c r="D32" s="10" t="s">
        <v>22</v>
      </c>
      <c r="E32" s="10" t="s">
        <v>23</v>
      </c>
      <c r="F32" s="10">
        <v>5300</v>
      </c>
      <c r="G32" s="11">
        <v>45322</v>
      </c>
      <c r="H32" s="10"/>
      <c r="I32" s="10" t="b">
        <f t="shared" si="0"/>
        <v>0</v>
      </c>
    </row>
    <row r="33" spans="1:9" x14ac:dyDescent="0.3">
      <c r="A33" s="10" t="s">
        <v>103</v>
      </c>
      <c r="B33" s="10" t="s">
        <v>104</v>
      </c>
      <c r="C33" s="1" t="s">
        <v>105</v>
      </c>
      <c r="D33" s="10" t="s">
        <v>10</v>
      </c>
      <c r="E33" s="10" t="s">
        <v>11</v>
      </c>
      <c r="F33" s="10">
        <v>14500</v>
      </c>
      <c r="G33" s="11">
        <v>45323</v>
      </c>
      <c r="H33" s="10"/>
      <c r="I33" s="10" t="b">
        <f t="shared" si="0"/>
        <v>0</v>
      </c>
    </row>
    <row r="34" spans="1:9" x14ac:dyDescent="0.3">
      <c r="A34" s="10" t="s">
        <v>106</v>
      </c>
      <c r="B34" s="10" t="s">
        <v>107</v>
      </c>
      <c r="C34" s="1" t="s">
        <v>108</v>
      </c>
      <c r="D34" s="10" t="s">
        <v>15</v>
      </c>
      <c r="E34" s="10" t="s">
        <v>16</v>
      </c>
      <c r="F34" s="10">
        <v>7900</v>
      </c>
      <c r="G34" s="11">
        <v>45324</v>
      </c>
      <c r="H34" s="10"/>
      <c r="I34" s="10" t="b">
        <f t="shared" si="0"/>
        <v>0</v>
      </c>
    </row>
    <row r="35" spans="1:9" x14ac:dyDescent="0.3">
      <c r="A35" s="10" t="s">
        <v>109</v>
      </c>
      <c r="B35" s="10" t="s">
        <v>110</v>
      </c>
      <c r="C35" s="1" t="s">
        <v>111</v>
      </c>
      <c r="D35" s="10" t="s">
        <v>19</v>
      </c>
      <c r="E35" s="10" t="s">
        <v>162</v>
      </c>
      <c r="F35" s="10">
        <v>13800</v>
      </c>
      <c r="G35" s="11">
        <v>45325</v>
      </c>
      <c r="H35" s="10"/>
      <c r="I35" s="10" t="b">
        <f t="shared" si="0"/>
        <v>0</v>
      </c>
    </row>
    <row r="36" spans="1:9" x14ac:dyDescent="0.3">
      <c r="A36" s="10" t="s">
        <v>112</v>
      </c>
      <c r="B36" s="10" t="s">
        <v>113</v>
      </c>
      <c r="C36" s="1" t="s">
        <v>114</v>
      </c>
      <c r="D36" s="10" t="s">
        <v>22</v>
      </c>
      <c r="E36" s="10" t="s">
        <v>23</v>
      </c>
      <c r="F36" s="10">
        <v>4700</v>
      </c>
      <c r="G36" s="11">
        <v>45326</v>
      </c>
      <c r="H36" s="10"/>
      <c r="I36" s="10" t="b">
        <f t="shared" si="0"/>
        <v>0</v>
      </c>
    </row>
    <row r="37" spans="1:9" x14ac:dyDescent="0.3">
      <c r="A37" s="10" t="s">
        <v>115</v>
      </c>
      <c r="B37" s="10" t="s">
        <v>116</v>
      </c>
      <c r="C37" s="1" t="s">
        <v>117</v>
      </c>
      <c r="D37" s="10" t="s">
        <v>10</v>
      </c>
      <c r="E37" s="10" t="s">
        <v>44</v>
      </c>
      <c r="F37" s="10">
        <v>20500</v>
      </c>
      <c r="G37" s="11">
        <v>45327</v>
      </c>
      <c r="H37" s="10"/>
      <c r="I37" s="10" t="b">
        <f t="shared" si="0"/>
        <v>0</v>
      </c>
    </row>
    <row r="38" spans="1:9" x14ac:dyDescent="0.3">
      <c r="A38" s="10" t="s">
        <v>118</v>
      </c>
      <c r="B38" s="10" t="s">
        <v>119</v>
      </c>
      <c r="C38" s="1" t="s">
        <v>120</v>
      </c>
      <c r="D38" s="10" t="s">
        <v>15</v>
      </c>
      <c r="E38" s="10" t="s">
        <v>16</v>
      </c>
      <c r="F38" s="10">
        <v>9100</v>
      </c>
      <c r="G38" s="11">
        <v>45328</v>
      </c>
      <c r="H38" s="10"/>
      <c r="I38" s="10" t="b">
        <f t="shared" si="0"/>
        <v>0</v>
      </c>
    </row>
    <row r="39" spans="1:9" x14ac:dyDescent="0.3">
      <c r="A39" s="10" t="s">
        <v>121</v>
      </c>
      <c r="B39" s="10" t="s">
        <v>122</v>
      </c>
      <c r="C39" s="1" t="s">
        <v>123</v>
      </c>
      <c r="D39" s="10" t="s">
        <v>19</v>
      </c>
      <c r="E39" s="10" t="s">
        <v>11</v>
      </c>
      <c r="F39" s="10">
        <v>14200</v>
      </c>
      <c r="G39" s="11">
        <v>45329</v>
      </c>
      <c r="H39" s="10"/>
      <c r="I39" s="10" t="b">
        <f t="shared" si="0"/>
        <v>0</v>
      </c>
    </row>
    <row r="40" spans="1:9" x14ac:dyDescent="0.3">
      <c r="A40" s="10" t="s">
        <v>124</v>
      </c>
      <c r="B40" s="10" t="s">
        <v>125</v>
      </c>
      <c r="C40" s="1" t="s">
        <v>126</v>
      </c>
      <c r="D40" s="10"/>
      <c r="E40" s="10" t="s">
        <v>23</v>
      </c>
      <c r="F40" s="10">
        <v>5200</v>
      </c>
      <c r="G40" s="11">
        <v>45330</v>
      </c>
      <c r="H40" s="10"/>
      <c r="I40" s="10" t="b">
        <f t="shared" si="0"/>
        <v>1</v>
      </c>
    </row>
    <row r="41" spans="1:9" x14ac:dyDescent="0.3">
      <c r="A41" s="10" t="s">
        <v>127</v>
      </c>
      <c r="B41" s="10" t="s">
        <v>128</v>
      </c>
      <c r="C41" s="12" t="s">
        <v>166</v>
      </c>
      <c r="D41" s="10" t="s">
        <v>10</v>
      </c>
      <c r="E41" s="10" t="s">
        <v>11</v>
      </c>
      <c r="F41" s="10">
        <v>15800</v>
      </c>
      <c r="G41" s="11">
        <v>45331</v>
      </c>
      <c r="H41" s="10"/>
      <c r="I41" s="10" t="b">
        <f t="shared" si="0"/>
        <v>0</v>
      </c>
    </row>
    <row r="42" spans="1:9" x14ac:dyDescent="0.3">
      <c r="A42" s="10" t="s">
        <v>129</v>
      </c>
      <c r="B42" s="10" t="s">
        <v>130</v>
      </c>
      <c r="C42" s="1" t="s">
        <v>131</v>
      </c>
      <c r="D42" s="10" t="s">
        <v>15</v>
      </c>
      <c r="E42" s="10" t="s">
        <v>16</v>
      </c>
      <c r="F42" s="10">
        <v>8600</v>
      </c>
      <c r="G42" s="11">
        <v>45332</v>
      </c>
      <c r="H42" s="10"/>
      <c r="I42" s="10" t="b">
        <f t="shared" si="0"/>
        <v>0</v>
      </c>
    </row>
    <row r="43" spans="1:9" x14ac:dyDescent="0.3">
      <c r="A43" s="10" t="s">
        <v>132</v>
      </c>
      <c r="B43" s="10" t="s">
        <v>133</v>
      </c>
      <c r="C43" s="1" t="s">
        <v>134</v>
      </c>
      <c r="D43" s="10" t="s">
        <v>19</v>
      </c>
      <c r="E43" s="10" t="s">
        <v>44</v>
      </c>
      <c r="F43" s="10">
        <v>24000</v>
      </c>
      <c r="G43" s="11">
        <v>45333</v>
      </c>
      <c r="H43" s="10"/>
      <c r="I43" s="10" t="b">
        <f t="shared" si="0"/>
        <v>0</v>
      </c>
    </row>
    <row r="44" spans="1:9" x14ac:dyDescent="0.3">
      <c r="A44" s="10" t="s">
        <v>135</v>
      </c>
      <c r="B44" s="10" t="s">
        <v>136</v>
      </c>
      <c r="C44" s="1" t="s">
        <v>137</v>
      </c>
      <c r="D44" s="10" t="s">
        <v>22</v>
      </c>
      <c r="E44" s="10" t="s">
        <v>23</v>
      </c>
      <c r="F44" s="10">
        <v>5500</v>
      </c>
      <c r="G44" s="11">
        <v>45334</v>
      </c>
      <c r="H44" s="10"/>
      <c r="I44" s="10" t="b">
        <f t="shared" si="0"/>
        <v>0</v>
      </c>
    </row>
    <row r="45" spans="1:9" x14ac:dyDescent="0.3">
      <c r="A45" s="10" t="s">
        <v>138</v>
      </c>
      <c r="B45" s="10" t="s">
        <v>139</v>
      </c>
      <c r="C45" s="1" t="s">
        <v>140</v>
      </c>
      <c r="D45" s="10" t="s">
        <v>10</v>
      </c>
      <c r="E45" s="10" t="s">
        <v>11</v>
      </c>
      <c r="F45" s="10">
        <v>16500</v>
      </c>
      <c r="G45" s="11">
        <v>45335</v>
      </c>
      <c r="H45" s="10"/>
      <c r="I45" s="10" t="b">
        <f t="shared" si="0"/>
        <v>0</v>
      </c>
    </row>
    <row r="46" spans="1:9" x14ac:dyDescent="0.3">
      <c r="A46" s="10" t="s">
        <v>141</v>
      </c>
      <c r="B46" s="10" t="s">
        <v>142</v>
      </c>
      <c r="C46" s="1" t="s">
        <v>143</v>
      </c>
      <c r="D46" s="10" t="s">
        <v>15</v>
      </c>
      <c r="E46" s="10" t="s">
        <v>16</v>
      </c>
      <c r="F46" s="10"/>
      <c r="G46" s="11">
        <v>45336</v>
      </c>
      <c r="H46" s="10"/>
      <c r="I46" s="10" t="b">
        <f t="shared" si="0"/>
        <v>1</v>
      </c>
    </row>
    <row r="47" spans="1:9" x14ac:dyDescent="0.3">
      <c r="A47" s="10" t="s">
        <v>144</v>
      </c>
      <c r="B47" s="10" t="s">
        <v>145</v>
      </c>
      <c r="C47" s="1" t="s">
        <v>146</v>
      </c>
      <c r="D47" s="10" t="s">
        <v>19</v>
      </c>
      <c r="E47" s="10" t="s">
        <v>11</v>
      </c>
      <c r="F47" s="10">
        <v>14800</v>
      </c>
      <c r="G47" s="11">
        <v>45337</v>
      </c>
      <c r="H47" s="10"/>
      <c r="I47" s="10" t="b">
        <f t="shared" si="0"/>
        <v>0</v>
      </c>
    </row>
    <row r="48" spans="1:9" x14ac:dyDescent="0.3">
      <c r="A48" s="10" t="s">
        <v>147</v>
      </c>
      <c r="B48" s="10" t="s">
        <v>148</v>
      </c>
      <c r="C48" s="1" t="s">
        <v>149</v>
      </c>
      <c r="D48" s="10" t="s">
        <v>22</v>
      </c>
      <c r="E48" s="10" t="s">
        <v>163</v>
      </c>
      <c r="F48" s="10">
        <v>5600</v>
      </c>
      <c r="G48" s="11">
        <v>45338</v>
      </c>
      <c r="H48" s="10"/>
      <c r="I48" s="10" t="b">
        <f t="shared" si="0"/>
        <v>0</v>
      </c>
    </row>
    <row r="49" spans="1:9" x14ac:dyDescent="0.3">
      <c r="A49" s="10" t="s">
        <v>150</v>
      </c>
      <c r="B49" s="10" t="s">
        <v>151</v>
      </c>
      <c r="C49" s="1" t="s">
        <v>152</v>
      </c>
      <c r="D49" s="10" t="s">
        <v>10</v>
      </c>
      <c r="E49" s="10" t="s">
        <v>44</v>
      </c>
      <c r="F49" s="10">
        <v>21500</v>
      </c>
      <c r="G49" s="11">
        <v>45339</v>
      </c>
      <c r="H49" s="10"/>
      <c r="I49" s="10" t="b">
        <f t="shared" si="0"/>
        <v>0</v>
      </c>
    </row>
    <row r="50" spans="1:9" x14ac:dyDescent="0.3">
      <c r="A50" s="10" t="s">
        <v>153</v>
      </c>
      <c r="B50" s="10" t="s">
        <v>154</v>
      </c>
      <c r="C50" s="1" t="s">
        <v>155</v>
      </c>
      <c r="D50" s="10" t="s">
        <v>15</v>
      </c>
      <c r="E50" s="10"/>
      <c r="F50" s="10">
        <v>9200</v>
      </c>
      <c r="G50" s="11">
        <v>45340</v>
      </c>
      <c r="H50" s="10"/>
      <c r="I50" s="10" t="b">
        <f t="shared" si="0"/>
        <v>1</v>
      </c>
    </row>
    <row r="51" spans="1:9" x14ac:dyDescent="0.3">
      <c r="A51" s="10" t="s">
        <v>156</v>
      </c>
      <c r="B51" s="10" t="s">
        <v>157</v>
      </c>
      <c r="C51" s="1" t="s">
        <v>158</v>
      </c>
      <c r="D51" s="10" t="s">
        <v>19</v>
      </c>
      <c r="E51" s="10" t="s">
        <v>11</v>
      </c>
      <c r="F51" s="10">
        <v>15200</v>
      </c>
      <c r="G51" s="11">
        <v>45341</v>
      </c>
      <c r="H51" s="10"/>
      <c r="I51" s="10" t="b">
        <f t="shared" si="0"/>
        <v>0</v>
      </c>
    </row>
    <row r="52" spans="1:9" x14ac:dyDescent="0.3">
      <c r="B52" s="14" t="s">
        <v>172</v>
      </c>
      <c r="F52" s="13" t="s">
        <v>171</v>
      </c>
      <c r="I52" s="14" t="s">
        <v>173</v>
      </c>
    </row>
    <row r="53" spans="1:9" x14ac:dyDescent="0.3">
      <c r="B53" s="3">
        <f>COUNTA(Sheet1!B2:B51)</f>
        <v>50</v>
      </c>
      <c r="F53" s="3">
        <f>SUM(Sheet1!F2:F51)</f>
        <v>564400</v>
      </c>
      <c r="G53" s="4"/>
      <c r="H53" s="3"/>
      <c r="I53" s="15">
        <f>COUNTIF(I2:I51,TRUE)</f>
        <v>6</v>
      </c>
    </row>
    <row r="55" spans="1:9" x14ac:dyDescent="0.3">
      <c r="A55" s="5"/>
    </row>
  </sheetData>
  <conditionalFormatting sqref="C2:C51">
    <cfRule type="expression" dxfId="6" priority="1">
      <formula>AND(C2&lt;&gt;"",NOT(OR( ISNUMBER(SEARCH("@gmail.com",C2)), ISNUMBER(SEARCH("@yahoo.com",C2)), ISNUMBER(SEARCH("@outlook.com",C2)) )))</formula>
    </cfRule>
    <cfRule type="expression" dxfId="5" priority="5">
      <formula>AND(C2&lt;&gt;"",NOT(AND(ISNUMBER(SEARCH("@",C2)),ISNUMBER(SEARCH(".",C2)),SEARCH("@",C2)&lt;SEARCH(".",C2))))</formula>
    </cfRule>
    <cfRule type="expression" dxfId="4" priority="9" stopIfTrue="1">
      <formula>AND(C2&lt;&gt;"",OR(ISERROR(SEARCH("@",C2)),ISERROR(SEARCH(".",C2))))</formula>
    </cfRule>
  </conditionalFormatting>
  <conditionalFormatting sqref="D2:D51">
    <cfRule type="expression" dxfId="3" priority="3">
      <formula>ISBLANK(D2)</formula>
    </cfRule>
  </conditionalFormatting>
  <conditionalFormatting sqref="E2:E51">
    <cfRule type="expression" dxfId="2" priority="6">
      <formula>AND(E2&lt;&gt;"",COUNTIF($H$1:$H$4,E2)=0)</formula>
    </cfRule>
  </conditionalFormatting>
  <conditionalFormatting sqref="E17">
    <cfRule type="expression" dxfId="1" priority="4">
      <formula>AND(E2&lt;&gt;"",COUNTIF($H$1:$H$4,E2)=0)</formula>
    </cfRule>
  </conditionalFormatting>
  <conditionalFormatting sqref="F2:F51">
    <cfRule type="expression" dxfId="0" priority="2">
      <formula>ISBLANK(F2)</formula>
    </cfRule>
  </conditionalFormatting>
  <dataValidations count="1">
    <dataValidation type="list" allowBlank="1" showInputMessage="1" showErrorMessage="1" sqref="E2:E51" xr:uid="{4CF052DE-79E6-4B55-A222-FE17973DC42A}">
      <formula1>$H$1:$H$4</formula1>
    </dataValidation>
  </dataValidations>
  <hyperlinks>
    <hyperlink ref="C41" r:id="rId1" xr:uid="{ADEAF8FE-27C2-4D9A-89E3-774935EC9510}"/>
    <hyperlink ref="C4" r:id="rId2" xr:uid="{696D1559-08F5-4EB1-8878-1154DFFE0932}"/>
    <hyperlink ref="C19" r:id="rId3" xr:uid="{8FCF28B3-C84F-43B6-9D2D-130E4A032A02}"/>
    <hyperlink ref="C17" r:id="rId4" xr:uid="{C185B0AC-DE60-419C-AFD2-43AE41FA2754}"/>
    <hyperlink ref="C44" r:id="rId5" xr:uid="{62BEE266-77AD-44BB-97B9-7474F3C1F41F}"/>
    <hyperlink ref="C38" r:id="rId6" xr:uid="{8C09D48B-BA48-4EFA-B6F9-C49B237C072F}"/>
    <hyperlink ref="C36" r:id="rId7" xr:uid="{0D57F614-916C-4B6C-B602-C3060372AFCE}"/>
    <hyperlink ref="C51" r:id="rId8" xr:uid="{531D4557-837B-4053-AC91-DADFABF6F2FE}"/>
    <hyperlink ref="C50" r:id="rId9" xr:uid="{F6BA7296-70D6-4C22-BC67-99273E051B1C}"/>
    <hyperlink ref="C49" r:id="rId10" xr:uid="{D0B4BB14-6AB8-45A1-AAB2-FF5CDE72EE6A}"/>
    <hyperlink ref="C48" r:id="rId11" xr:uid="{21343CDE-8CE8-4D6D-BDD0-3AEF74E06D6E}"/>
    <hyperlink ref="C47" r:id="rId12" xr:uid="{73ECDE05-3C7C-4E05-9CD7-D2E8AA577397}"/>
    <hyperlink ref="C46" r:id="rId13" xr:uid="{A966AF68-5F90-44D5-817F-93D3CCB41576}"/>
    <hyperlink ref="C45" r:id="rId14" xr:uid="{8AC9CB8B-AB27-43CF-99EA-207400B1ACBE}"/>
    <hyperlink ref="C43" r:id="rId15" xr:uid="{FB9BF9A6-9ACA-4080-B758-A090F3727A02}"/>
    <hyperlink ref="C42" r:id="rId16" xr:uid="{05923D12-6FF1-4D77-AD6E-F3A89D1E47B1}"/>
    <hyperlink ref="C40" r:id="rId17" xr:uid="{AA3DA8A4-89D5-4AD3-B646-563685951848}"/>
    <hyperlink ref="C39" r:id="rId18" xr:uid="{6A4DB7DF-5BC5-4969-ACF9-289C9C36C558}"/>
    <hyperlink ref="C37" r:id="rId19" xr:uid="{30B26ACE-1C9E-4F22-B297-85E46D01F331}"/>
    <hyperlink ref="C35" r:id="rId20" xr:uid="{A924870A-7E13-471C-82F2-5CECA11F6F91}"/>
    <hyperlink ref="C34" r:id="rId21" xr:uid="{A2C4AB8F-165C-4701-8FBD-C22B0C6AE636}"/>
    <hyperlink ref="C33" r:id="rId22" xr:uid="{CE40F522-1B2F-4132-8713-221239B32D9F}"/>
    <hyperlink ref="C32" r:id="rId23" xr:uid="{704DECEB-B7BF-4AB6-8F39-A3FDF548C2FC}"/>
    <hyperlink ref="C31" r:id="rId24" xr:uid="{3F153DE9-0166-493A-8B27-0B21143562DA}"/>
    <hyperlink ref="C30" r:id="rId25" xr:uid="{ED176496-0B02-4B7A-BF54-605F6E7EE61F}"/>
    <hyperlink ref="C29" r:id="rId26" xr:uid="{510CF6DE-258F-402E-867E-3B1C4B1693B9}"/>
    <hyperlink ref="C28" r:id="rId27" xr:uid="{AB659E08-2AC9-4B59-B279-0A7310EE89C4}"/>
    <hyperlink ref="C27" r:id="rId28" xr:uid="{024B0F53-0B4D-41AB-A091-C93ABD883B15}"/>
    <hyperlink ref="C26" r:id="rId29" xr:uid="{8BA40064-825E-45E5-8923-073B3D6A46F2}"/>
    <hyperlink ref="C25" r:id="rId30" xr:uid="{957552A9-FB37-47AA-82BB-042A936C89D6}"/>
    <hyperlink ref="C24" r:id="rId31" xr:uid="{02E057F7-659B-4E58-B023-39AED8164DFA}"/>
    <hyperlink ref="C23" r:id="rId32" xr:uid="{C013B810-B2BC-4D4E-86E7-70573B630A0F}"/>
    <hyperlink ref="C22" r:id="rId33" xr:uid="{DC1A41B3-1D7C-4117-AC4A-60142E30F48B}"/>
    <hyperlink ref="C21" r:id="rId34" xr:uid="{C97EA64C-83D4-43A5-AEDC-8273246FEA5E}"/>
    <hyperlink ref="C20" r:id="rId35" xr:uid="{465DF478-9525-47C5-9279-D4AEC35BD990}"/>
    <hyperlink ref="C18" r:id="rId36" xr:uid="{635DE0D4-3ED6-4875-859A-0AF4A4375984}"/>
    <hyperlink ref="C16" r:id="rId37" xr:uid="{C56BAFB8-B99C-4BB0-A1D5-141B04BA54DD}"/>
    <hyperlink ref="C15" r:id="rId38" xr:uid="{C20DEC0C-18D5-4C08-A36E-3C71FDE4CFFF}"/>
    <hyperlink ref="C13" r:id="rId39" xr:uid="{8E9DC401-BF3E-4AF4-B3CA-4C1A100B0F6C}"/>
    <hyperlink ref="C12" r:id="rId40" xr:uid="{9C22260E-BA6A-4B7A-A0F7-CE385CFD0943}"/>
    <hyperlink ref="C11" r:id="rId41" xr:uid="{336FF4C6-20DF-427D-B4C3-3C6EBF5BD7AC}"/>
    <hyperlink ref="C9" r:id="rId42" xr:uid="{66587505-3C56-475B-AEAD-2B19FACC5EA8}"/>
    <hyperlink ref="C10" r:id="rId43" xr:uid="{3CA43D50-16CF-427A-84B8-5CBA4280C23D}"/>
    <hyperlink ref="C8" r:id="rId44" xr:uid="{E738E475-F0B0-4148-AF60-0EBB87D8D2BF}"/>
    <hyperlink ref="C7" r:id="rId45" xr:uid="{344CB109-CF5D-4457-AF08-1DC3FC8CA08D}"/>
    <hyperlink ref="C6" r:id="rId46" xr:uid="{82D80211-CCD9-4FBC-BA04-FFFDCE1ED183}"/>
    <hyperlink ref="C3" r:id="rId47" xr:uid="{E73EC205-1CD9-4334-8DAB-B0B181BA501A}"/>
    <hyperlink ref="C2" r:id="rId48" xr:uid="{C03BD158-DDBE-4322-A624-E42F6C52E60B}"/>
    <hyperlink ref="C14" r:id="rId49" xr:uid="{1F4EDB06-4EB5-4A13-B441-C657B7B42AD1}"/>
    <hyperlink ref="C5" r:id="rId50" xr:uid="{7517BC5D-C426-44F4-9AE5-57E799411B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F8251-2C65-4EEC-BCC3-9EEAD7AFDC92}">
  <dimension ref="A1:B5"/>
  <sheetViews>
    <sheetView zoomScale="81" workbookViewId="0">
      <selection activeCell="N31" sqref="N31"/>
    </sheetView>
  </sheetViews>
  <sheetFormatPr defaultRowHeight="14.4" x14ac:dyDescent="0.3"/>
  <cols>
    <col min="1" max="1" width="19.33203125" customWidth="1"/>
    <col min="3" max="3" width="11" customWidth="1"/>
  </cols>
  <sheetData>
    <row r="1" spans="1:2" ht="15.6" x14ac:dyDescent="0.3">
      <c r="A1" s="16" t="s">
        <v>176</v>
      </c>
      <c r="B1" s="17" t="s">
        <v>175</v>
      </c>
    </row>
    <row r="2" spans="1:2" ht="15.6" x14ac:dyDescent="0.3">
      <c r="A2" s="21" t="s">
        <v>177</v>
      </c>
      <c r="B2" s="6">
        <f>COUNTA(Sheet1!A2:A51)</f>
        <v>50</v>
      </c>
    </row>
    <row r="3" spans="1:2" ht="15.6" x14ac:dyDescent="0.3">
      <c r="A3" s="18" t="s">
        <v>168</v>
      </c>
      <c r="B3" s="6">
        <f>COUNTBLANK(Sheet1!A2:G51)</f>
        <v>6</v>
      </c>
    </row>
    <row r="4" spans="1:2" ht="15.6" x14ac:dyDescent="0.3">
      <c r="A4" s="19" t="s">
        <v>170</v>
      </c>
      <c r="B4" s="6" cm="1">
        <f t="array" ref="B4">SUMPRODUCT(--(Sheet1!E2:E50&lt;&gt;""),--(COUNTIF(Sheet1!H1:H4,Sheet1!E2:E50)=0))</f>
        <v>5</v>
      </c>
    </row>
    <row r="5" spans="1:2" ht="15.6" x14ac:dyDescent="0.3">
      <c r="A5" s="20" t="s">
        <v>169</v>
      </c>
      <c r="B5" s="6" cm="1">
        <f t="array" ref="B5">SUMPRODUCT(--(Sheet1!C2:C50&lt;&gt;""),--(NOT(ISNUMBER(SEARCH("@",Sheet1!C2:C50))*ISNUMBER(SEARCH(".",Sheet1!C2:C50)))))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Ayushman Kashyap</dc:creator>
  <cp:lastModifiedBy>Ayushman Kashyap</cp:lastModifiedBy>
  <dcterms:created xsi:type="dcterms:W3CDTF">2026-04-26T12:57:43Z</dcterms:created>
  <dcterms:modified xsi:type="dcterms:W3CDTF">2026-04-30T08:45:16Z</dcterms:modified>
</cp:coreProperties>
</file>